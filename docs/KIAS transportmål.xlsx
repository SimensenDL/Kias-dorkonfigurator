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kr\OneDrive\Skrivebord\Claude Code Prodjects\Kias-dørkonfigurator\docs\"/>
    </mc:Choice>
  </mc:AlternateContent>
  <xr:revisionPtr revIDLastSave="0" documentId="13_ncr:1_{FB78F002-2748-4BA6-9438-176F8A916620}" xr6:coauthVersionLast="47" xr6:coauthVersionMax="47" xr10:uidLastSave="{00000000-0000-0000-0000-000000000000}"/>
  <bookViews>
    <workbookView xWindow="-25485" yWindow="135" windowWidth="23130" windowHeight="14310" xr2:uid="{12969F59-FE10-40A4-AC2E-F33F85E49C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F15" i="1"/>
  <c r="E15" i="1"/>
  <c r="D15" i="1"/>
  <c r="H14" i="1"/>
  <c r="F14" i="1"/>
  <c r="E14" i="1"/>
  <c r="D14" i="1"/>
  <c r="H13" i="1"/>
  <c r="F13" i="1"/>
  <c r="E13" i="1"/>
  <c r="D13" i="1"/>
  <c r="H12" i="1"/>
  <c r="F12" i="1"/>
  <c r="E12" i="1"/>
  <c r="D12" i="1"/>
  <c r="F10" i="1"/>
  <c r="K10" i="1"/>
  <c r="J10" i="1"/>
  <c r="I10" i="1"/>
  <c r="H10" i="1"/>
  <c r="G10" i="1"/>
  <c r="E10" i="1"/>
  <c r="D10" i="1"/>
  <c r="F9" i="1"/>
  <c r="K9" i="1"/>
  <c r="J9" i="1"/>
  <c r="I9" i="1"/>
  <c r="H9" i="1"/>
  <c r="G9" i="1"/>
  <c r="E9" i="1"/>
  <c r="D9" i="1"/>
  <c r="F8" i="1"/>
  <c r="K8" i="1"/>
  <c r="J8" i="1"/>
  <c r="I8" i="1"/>
  <c r="H8" i="1"/>
  <c r="G8" i="1"/>
  <c r="E8" i="1"/>
  <c r="D8" i="1"/>
  <c r="F6" i="1"/>
  <c r="L6" i="1"/>
  <c r="K6" i="1"/>
  <c r="J6" i="1"/>
  <c r="I6" i="1"/>
  <c r="H6" i="1"/>
  <c r="G6" i="1"/>
  <c r="E6" i="1"/>
  <c r="D6" i="1"/>
  <c r="F5" i="1"/>
  <c r="K5" i="1"/>
  <c r="J5" i="1"/>
  <c r="I5" i="1"/>
  <c r="H5" i="1"/>
  <c r="G5" i="1"/>
  <c r="E5" i="1"/>
  <c r="D5" i="1"/>
  <c r="F4" i="1"/>
  <c r="K4" i="1"/>
  <c r="J4" i="1"/>
  <c r="I4" i="1"/>
  <c r="H4" i="1"/>
  <c r="G4" i="1"/>
  <c r="E4" i="1"/>
  <c r="D4" i="1"/>
</calcChain>
</file>

<file path=xl/sharedStrings.xml><?xml version="1.0" encoding="utf-8"?>
<sst xmlns="http://schemas.openxmlformats.org/spreadsheetml/2006/main" count="49" uniqueCount="25">
  <si>
    <t xml:space="preserve">Skjema for lysmål transportmål etc. </t>
  </si>
  <si>
    <t>Bredde karm</t>
  </si>
  <si>
    <t>Høyde karm</t>
  </si>
  <si>
    <t>Type karm</t>
  </si>
  <si>
    <t xml:space="preserve">Transportåpning ved 90gr. åpning av dør. </t>
  </si>
  <si>
    <t>Uts. Vegg bredde</t>
  </si>
  <si>
    <t>Uts. vegg høyde</t>
  </si>
  <si>
    <t xml:space="preserve">Transportåpning bredde ved 180gr. åpning av dør </t>
  </si>
  <si>
    <t>SD1/BD1</t>
  </si>
  <si>
    <t>KD1/YD1</t>
  </si>
  <si>
    <t>KD2/YD2</t>
  </si>
  <si>
    <t>KD3/YD3</t>
  </si>
  <si>
    <t>-</t>
  </si>
  <si>
    <t>PD1…E</t>
  </si>
  <si>
    <t>PD2…E</t>
  </si>
  <si>
    <t>PD1...D</t>
  </si>
  <si>
    <t>PD2…D</t>
  </si>
  <si>
    <t>SD3/ID</t>
  </si>
  <si>
    <t>Transportåpning høyde ved terskel 37mm (LS 22mm)</t>
  </si>
  <si>
    <t>Transportåpning høyde ved kjørbarterskel 25mm (LS 13mm)</t>
  </si>
  <si>
    <t>Transportåpning høyde ved HC-terskel 20mm (LS 8 mm)</t>
  </si>
  <si>
    <t>Transportåpning høyde ved HCID-terskel 25mm (LS 18)</t>
  </si>
  <si>
    <t>Eksempel M10x21-dør</t>
  </si>
  <si>
    <t>Transportåpning høyde ved luftespalte (22 mm)/slepelist (LS 22mm)</t>
  </si>
  <si>
    <t>SD2/BD2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</si>
</sst>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/>
    <xf numFmtId="0" fontId="0" fillId="0" borderId="0" xfId="0" applyAlignment="1">
      <alignment horizontal="center"/>
    </xf>
    <xf numFmtId="0" fontId="0" fillId="4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2" fillId="4" borderId="0" xfId="0" applyFont="1" applyFill="1"/>
    <xf numFmtId="0" fontId="1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A4BA7D-01F5-456D-9F64-1CDA32D34985}">
  <we:reference id="29673e3c-d826-4f00-92ee-162334a52b1a" version="1.0.0.5" store="EXCatalog" storeType="EXCatalog"/>
  <we:alternateReferences>
    <we:reference id="WA200009404" version="1.0.0.5" store="nb-NO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A711-5D9F-471F-ABA9-FB7536E0659C}">
  <dimension ref="A1:L29"/>
  <sheetViews>
    <sheetView tabSelected="1" zoomScaleNormal="100" workbookViewId="0">
      <selection activeCell="B21" sqref="B21"/>
    </sheetView>
  </sheetViews>
  <sheetFormatPr baseColWidth="10" defaultRowHeight="15" x14ac:dyDescent="0.25"/>
  <cols>
    <col min="1" max="1" width="22.85546875" customWidth="1"/>
    <col min="2" max="2" width="20.140625" bestFit="1" customWidth="1"/>
    <col min="3" max="3" width="21.42578125" customWidth="1"/>
    <col min="4" max="4" width="16.42578125" customWidth="1"/>
    <col min="5" max="5" width="24.5703125" customWidth="1"/>
    <col min="6" max="6" width="19.140625" customWidth="1"/>
    <col min="7" max="7" width="21" customWidth="1"/>
    <col min="8" max="8" width="21.85546875" bestFit="1" customWidth="1"/>
    <col min="9" max="12" width="21" customWidth="1"/>
  </cols>
  <sheetData>
    <row r="1" spans="1:12" ht="24" x14ac:dyDescent="0.4">
      <c r="A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0" x14ac:dyDescent="0.25">
      <c r="A3" t="s">
        <v>3</v>
      </c>
      <c r="B3" s="3" t="s">
        <v>1</v>
      </c>
      <c r="C3" s="3" t="s">
        <v>2</v>
      </c>
      <c r="D3" s="3" t="s">
        <v>5</v>
      </c>
      <c r="E3" s="3" t="s">
        <v>6</v>
      </c>
      <c r="F3" s="9" t="s">
        <v>4</v>
      </c>
      <c r="G3" s="9" t="s">
        <v>7</v>
      </c>
      <c r="H3" s="9" t="s">
        <v>23</v>
      </c>
      <c r="I3" s="9" t="s">
        <v>18</v>
      </c>
      <c r="J3" s="9" t="s">
        <v>19</v>
      </c>
      <c r="K3" s="9" t="s">
        <v>20</v>
      </c>
      <c r="L3" s="9" t="s">
        <v>21</v>
      </c>
    </row>
    <row r="4" spans="1:12" x14ac:dyDescent="0.25">
      <c r="A4" s="2" t="s">
        <v>8</v>
      </c>
      <c r="B4" s="4">
        <v>1080</v>
      </c>
      <c r="C4" s="7">
        <v>2140</v>
      </c>
      <c r="D4" s="4">
        <f>B4-70</f>
        <v>1010</v>
      </c>
      <c r="E4" s="7">
        <f>C4-30</f>
        <v>2110</v>
      </c>
      <c r="F4" s="4">
        <f>B4-160-30</f>
        <v>890</v>
      </c>
      <c r="G4" s="4">
        <f>B4-160</f>
        <v>920</v>
      </c>
      <c r="H4" s="7">
        <f>C4-80</f>
        <v>2060</v>
      </c>
      <c r="I4" s="7">
        <f>C4-60-37</f>
        <v>2043</v>
      </c>
      <c r="J4" s="7">
        <f>C4-60-25</f>
        <v>2055</v>
      </c>
      <c r="K4" s="7">
        <f>C4-60-20</f>
        <v>2060</v>
      </c>
      <c r="L4" s="7" t="s">
        <v>12</v>
      </c>
    </row>
    <row r="5" spans="1:12" x14ac:dyDescent="0.25">
      <c r="A5" s="2" t="s">
        <v>24</v>
      </c>
      <c r="B5" s="4">
        <v>1100</v>
      </c>
      <c r="C5" s="7">
        <v>2150</v>
      </c>
      <c r="D5" s="4">
        <f>B5-90</f>
        <v>1010</v>
      </c>
      <c r="E5" s="7">
        <f>C5-40</f>
        <v>2110</v>
      </c>
      <c r="F5" s="4">
        <f>B5-160-30</f>
        <v>910</v>
      </c>
      <c r="G5" s="4">
        <f>B5-160</f>
        <v>940</v>
      </c>
      <c r="H5" s="7">
        <f>C5-60</f>
        <v>2090</v>
      </c>
      <c r="I5" s="7">
        <f>C5-60-37</f>
        <v>2053</v>
      </c>
      <c r="J5" s="7">
        <f>C5-60-25</f>
        <v>2065</v>
      </c>
      <c r="K5" s="7">
        <f>C5-60-20</f>
        <v>2070</v>
      </c>
      <c r="L5" s="7" t="s">
        <v>12</v>
      </c>
    </row>
    <row r="6" spans="1:12" x14ac:dyDescent="0.25">
      <c r="A6" s="2" t="s">
        <v>17</v>
      </c>
      <c r="B6" s="4">
        <v>990</v>
      </c>
      <c r="C6" s="7">
        <v>2090</v>
      </c>
      <c r="D6" s="4">
        <f>B6+20</f>
        <v>1010</v>
      </c>
      <c r="E6" s="7">
        <f>C6+20</f>
        <v>2110</v>
      </c>
      <c r="F6" s="4">
        <f>B6-44-44-35</f>
        <v>867</v>
      </c>
      <c r="G6" s="4">
        <f>B6-44-44</f>
        <v>902</v>
      </c>
      <c r="H6" s="7">
        <f>C6-44</f>
        <v>2046</v>
      </c>
      <c r="I6" s="7">
        <f>C6-44-37</f>
        <v>2009</v>
      </c>
      <c r="J6" s="7">
        <f>C6-44-25</f>
        <v>2021</v>
      </c>
      <c r="K6" s="7">
        <f>C6-44-20</f>
        <v>2026</v>
      </c>
      <c r="L6" s="7">
        <f>C6-44-20</f>
        <v>2026</v>
      </c>
    </row>
    <row r="7" spans="1:12" x14ac:dyDescent="0.25">
      <c r="A7" s="2"/>
      <c r="B7" s="4"/>
      <c r="C7" s="7"/>
      <c r="D7" s="4"/>
      <c r="E7" s="7"/>
      <c r="F7" s="4"/>
      <c r="G7" s="4"/>
      <c r="H7" s="7"/>
      <c r="I7" s="7"/>
      <c r="J7" s="7"/>
      <c r="K7" s="7"/>
      <c r="L7" s="7"/>
    </row>
    <row r="8" spans="1:12" x14ac:dyDescent="0.25">
      <c r="A8" s="2" t="s">
        <v>9</v>
      </c>
      <c r="B8" s="4">
        <v>1080</v>
      </c>
      <c r="C8" s="7">
        <v>2140</v>
      </c>
      <c r="D8" s="4">
        <f>B8-70</f>
        <v>1010</v>
      </c>
      <c r="E8" s="7">
        <f>C8-30</f>
        <v>2110</v>
      </c>
      <c r="F8" s="4">
        <f>B8-100-100-50</f>
        <v>830</v>
      </c>
      <c r="G8" s="4">
        <f>B8-100-100</f>
        <v>880</v>
      </c>
      <c r="H8" s="7">
        <f>C8-100</f>
        <v>2040</v>
      </c>
      <c r="I8" s="7">
        <f>C8-100-37</f>
        <v>2003</v>
      </c>
      <c r="J8" s="7">
        <f>C8-100-25</f>
        <v>2015</v>
      </c>
      <c r="K8" s="7">
        <f>C8-100-20</f>
        <v>2020</v>
      </c>
      <c r="L8" s="7" t="s">
        <v>12</v>
      </c>
    </row>
    <row r="9" spans="1:12" x14ac:dyDescent="0.25">
      <c r="A9" s="2" t="s">
        <v>10</v>
      </c>
      <c r="B9" s="4">
        <v>1100</v>
      </c>
      <c r="C9" s="7">
        <v>2150</v>
      </c>
      <c r="D9" s="4">
        <f>B9-90</f>
        <v>1010</v>
      </c>
      <c r="E9" s="7">
        <f>C9-40</f>
        <v>2110</v>
      </c>
      <c r="F9" s="4">
        <f>B9-100-100-50</f>
        <v>850</v>
      </c>
      <c r="G9" s="4">
        <f>B9-100-100</f>
        <v>900</v>
      </c>
      <c r="H9" s="7">
        <f>C9-100</f>
        <v>2050</v>
      </c>
      <c r="I9" s="7">
        <f>C9-100-37</f>
        <v>2013</v>
      </c>
      <c r="J9" s="7">
        <f>C9-100-25</f>
        <v>2025</v>
      </c>
      <c r="K9" s="7">
        <f>C9-100-20</f>
        <v>2030</v>
      </c>
      <c r="L9" s="7" t="s">
        <v>12</v>
      </c>
    </row>
    <row r="10" spans="1:12" x14ac:dyDescent="0.25">
      <c r="A10" s="2" t="s">
        <v>11</v>
      </c>
      <c r="B10" s="4">
        <v>990</v>
      </c>
      <c r="C10" s="7">
        <v>2090</v>
      </c>
      <c r="D10" s="4">
        <f>B10+20</f>
        <v>1010</v>
      </c>
      <c r="E10" s="7">
        <f>C10+20</f>
        <v>2110</v>
      </c>
      <c r="F10" s="4">
        <f>B10-46-46-50</f>
        <v>848</v>
      </c>
      <c r="G10" s="4">
        <f>B10-46-46</f>
        <v>898</v>
      </c>
      <c r="H10" s="7">
        <f>C10-46</f>
        <v>2044</v>
      </c>
      <c r="I10" s="7">
        <f>C10-46-37</f>
        <v>2007</v>
      </c>
      <c r="J10" s="7">
        <f>C10-46-25</f>
        <v>2019</v>
      </c>
      <c r="K10" s="7">
        <f>C10-46-20</f>
        <v>2024</v>
      </c>
      <c r="L10" s="7" t="s">
        <v>12</v>
      </c>
    </row>
    <row r="11" spans="1:12" x14ac:dyDescent="0.25">
      <c r="A11" s="2"/>
      <c r="B11" s="4"/>
      <c r="C11" s="7"/>
      <c r="D11" s="4"/>
      <c r="E11" s="7"/>
      <c r="F11" s="4"/>
      <c r="G11" s="4"/>
      <c r="H11" s="7"/>
      <c r="I11" s="7"/>
      <c r="J11" s="7"/>
      <c r="K11" s="7"/>
      <c r="L11" s="7"/>
    </row>
    <row r="12" spans="1:12" x14ac:dyDescent="0.25">
      <c r="A12" s="2" t="s">
        <v>13</v>
      </c>
      <c r="B12" s="4">
        <v>1080</v>
      </c>
      <c r="C12" s="7">
        <v>2140</v>
      </c>
      <c r="D12" s="4">
        <f>B12-70</f>
        <v>1010</v>
      </c>
      <c r="E12" s="7">
        <f>C12-30</f>
        <v>2110</v>
      </c>
      <c r="F12" s="4">
        <f>B12-240</f>
        <v>840</v>
      </c>
      <c r="G12" s="4" t="s">
        <v>12</v>
      </c>
      <c r="H12" s="7">
        <f>C12-80</f>
        <v>2060</v>
      </c>
      <c r="I12" s="7" t="s">
        <v>12</v>
      </c>
      <c r="J12" s="7" t="s">
        <v>12</v>
      </c>
      <c r="K12" s="7" t="s">
        <v>12</v>
      </c>
      <c r="L12" s="7" t="s">
        <v>12</v>
      </c>
    </row>
    <row r="13" spans="1:12" x14ac:dyDescent="0.25">
      <c r="A13" s="2" t="s">
        <v>14</v>
      </c>
      <c r="B13" s="4">
        <v>1100</v>
      </c>
      <c r="C13" s="7">
        <v>2150</v>
      </c>
      <c r="D13" s="4">
        <f>B13-90</f>
        <v>1010</v>
      </c>
      <c r="E13" s="7">
        <f>C13-40</f>
        <v>2110</v>
      </c>
      <c r="F13" s="4">
        <f>B13-240</f>
        <v>860</v>
      </c>
      <c r="G13" s="4" t="s">
        <v>12</v>
      </c>
      <c r="H13" s="7">
        <f>C13-80</f>
        <v>2070</v>
      </c>
      <c r="I13" s="7" t="s">
        <v>12</v>
      </c>
      <c r="J13" s="7" t="s">
        <v>12</v>
      </c>
      <c r="K13" s="7" t="s">
        <v>12</v>
      </c>
      <c r="L13" s="7" t="s">
        <v>12</v>
      </c>
    </row>
    <row r="14" spans="1:12" x14ac:dyDescent="0.25">
      <c r="A14" s="2" t="s">
        <v>15</v>
      </c>
      <c r="B14" s="4">
        <v>2080</v>
      </c>
      <c r="C14" s="7">
        <v>2140</v>
      </c>
      <c r="D14" s="4">
        <f>B14-70</f>
        <v>2010</v>
      </c>
      <c r="E14" s="7">
        <f>C14-30</f>
        <v>2110</v>
      </c>
      <c r="F14" s="4">
        <f>B14-290</f>
        <v>1790</v>
      </c>
      <c r="G14" s="4" t="s">
        <v>12</v>
      </c>
      <c r="H14" s="7">
        <f>C14-80</f>
        <v>2060</v>
      </c>
      <c r="I14" s="7" t="s">
        <v>12</v>
      </c>
      <c r="J14" s="7" t="s">
        <v>12</v>
      </c>
      <c r="K14" s="7" t="s">
        <v>12</v>
      </c>
      <c r="L14" s="7" t="s">
        <v>12</v>
      </c>
    </row>
    <row r="15" spans="1:12" x14ac:dyDescent="0.25">
      <c r="A15" s="2" t="s">
        <v>16</v>
      </c>
      <c r="B15" s="5">
        <v>2100</v>
      </c>
      <c r="C15" s="8">
        <v>2150</v>
      </c>
      <c r="D15" s="5">
        <f>B15-90</f>
        <v>2010</v>
      </c>
      <c r="E15" s="8">
        <f>C15-40</f>
        <v>2110</v>
      </c>
      <c r="F15" s="5">
        <f>B15-290</f>
        <v>1810</v>
      </c>
      <c r="G15" s="5" t="s">
        <v>12</v>
      </c>
      <c r="H15" s="8">
        <f>C15-80</f>
        <v>2070</v>
      </c>
      <c r="I15" s="8" t="s">
        <v>12</v>
      </c>
      <c r="J15" s="8" t="s">
        <v>12</v>
      </c>
      <c r="K15" s="8" t="s">
        <v>12</v>
      </c>
      <c r="L15" s="8" t="s">
        <v>12</v>
      </c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x14ac:dyDescent="0.25">
      <c r="A18" s="12"/>
      <c r="B18" s="2"/>
      <c r="C18" s="2"/>
      <c r="D18" s="2"/>
      <c r="E18" s="2"/>
      <c r="F18" s="2"/>
      <c r="H18" s="2"/>
      <c r="I18" s="2"/>
      <c r="J18" s="2"/>
      <c r="K18" s="2"/>
      <c r="L18" s="2"/>
    </row>
    <row r="19" spans="1:12" x14ac:dyDescent="0.25">
      <c r="A19" s="13"/>
      <c r="B19" s="13"/>
      <c r="C19" s="13"/>
      <c r="D19" s="13"/>
      <c r="E19" s="13"/>
      <c r="F19" s="13"/>
      <c r="H19" s="2"/>
      <c r="I19" s="2"/>
      <c r="J19" s="2"/>
      <c r="K19" s="2"/>
      <c r="L19" s="2"/>
    </row>
    <row r="20" spans="1:12" x14ac:dyDescent="0.25">
      <c r="A20" s="14"/>
      <c r="B20" s="15"/>
      <c r="C20" s="15"/>
      <c r="D20" s="15"/>
      <c r="E20" s="15"/>
      <c r="F20" s="16"/>
      <c r="H20" s="2"/>
      <c r="I20" s="2"/>
      <c r="J20" s="2"/>
      <c r="K20" s="2"/>
      <c r="L20" s="2"/>
    </row>
    <row r="21" spans="1:12" x14ac:dyDescent="0.25">
      <c r="A21" s="14"/>
      <c r="B21" s="15"/>
      <c r="C21" s="15"/>
      <c r="D21" s="15"/>
      <c r="E21" s="15"/>
      <c r="F21" s="16"/>
      <c r="H21" s="2"/>
      <c r="I21" s="2"/>
      <c r="J21" s="2"/>
      <c r="K21" s="2"/>
      <c r="L21" s="2"/>
    </row>
    <row r="22" spans="1:12" x14ac:dyDescent="0.25">
      <c r="A22" s="14"/>
      <c r="B22" s="15"/>
      <c r="C22" s="15"/>
      <c r="D22" s="15"/>
      <c r="E22" s="15"/>
      <c r="F22" s="15"/>
      <c r="H22" s="2"/>
      <c r="I22" s="2"/>
      <c r="J22" s="2"/>
      <c r="K22" s="2"/>
      <c r="L22" s="2"/>
    </row>
    <row r="23" spans="1:12" x14ac:dyDescent="0.25">
      <c r="A23" s="14"/>
      <c r="B23" s="15"/>
      <c r="C23" s="15"/>
      <c r="D23" s="15"/>
      <c r="E23" s="15"/>
      <c r="F23" s="16"/>
      <c r="H23" s="2"/>
      <c r="I23" s="2"/>
      <c r="J23" s="2"/>
      <c r="K23" s="2"/>
      <c r="L23" s="2"/>
    </row>
    <row r="24" spans="1:12" x14ac:dyDescent="0.25">
      <c r="A24" s="14"/>
      <c r="B24" s="15"/>
      <c r="C24" s="15"/>
      <c r="D24" s="15"/>
      <c r="E24" s="15"/>
      <c r="F24" s="16"/>
      <c r="H24" s="2"/>
      <c r="I24" s="2"/>
      <c r="J24" s="2"/>
      <c r="K24" s="2"/>
      <c r="L24" s="2"/>
    </row>
    <row r="25" spans="1:12" x14ac:dyDescent="0.25">
      <c r="A25" s="14"/>
      <c r="B25" s="15"/>
      <c r="C25" s="15"/>
      <c r="D25" s="15"/>
      <c r="E25" s="15"/>
      <c r="F25" s="16"/>
      <c r="H25" s="2"/>
      <c r="I25" s="2"/>
      <c r="J25" s="2"/>
      <c r="K25" s="2"/>
      <c r="L25" s="2"/>
    </row>
    <row r="26" spans="1:12" x14ac:dyDescent="0.25">
      <c r="A26" s="11"/>
      <c r="B26" s="15"/>
      <c r="C26" s="16"/>
      <c r="D26" s="16"/>
      <c r="E26" s="16"/>
      <c r="F26" s="16"/>
    </row>
    <row r="27" spans="1:12" x14ac:dyDescent="0.25">
      <c r="A27" s="11"/>
      <c r="B27" s="15"/>
      <c r="C27" s="16"/>
      <c r="D27" s="16"/>
      <c r="E27" s="16"/>
      <c r="F27" s="16"/>
    </row>
    <row r="28" spans="1:12" x14ac:dyDescent="0.25">
      <c r="A28" s="11"/>
      <c r="B28" s="15"/>
      <c r="C28" s="16"/>
      <c r="D28" s="16"/>
      <c r="E28" s="16"/>
      <c r="F28" s="16"/>
    </row>
    <row r="29" spans="1:12" x14ac:dyDescent="0.25">
      <c r="A29" s="17"/>
      <c r="B29" s="2"/>
      <c r="C29" s="2"/>
      <c r="D29" s="2"/>
      <c r="E29" s="2"/>
      <c r="F29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160B998A4060499D1196584FBC7DDD" ma:contentTypeVersion="15" ma:contentTypeDescription="Opprett et nytt dokument." ma:contentTypeScope="" ma:versionID="58c708bbc7b847f307c50ff6a398c52b">
  <xsd:schema xmlns:xsd="http://www.w3.org/2001/XMLSchema" xmlns:xs="http://www.w3.org/2001/XMLSchema" xmlns:p="http://schemas.microsoft.com/office/2006/metadata/properties" xmlns:ns3="141d4ca7-b38d-43b1-9fc5-9b6a5d9b8fb7" xmlns:ns4="89e381bf-539f-4f23-9886-ca6eb9b2f601" targetNamespace="http://schemas.microsoft.com/office/2006/metadata/properties" ma:root="true" ma:fieldsID="296c6aa1f3c5c52178e7062a27249f19" ns3:_="" ns4:_="">
    <xsd:import namespace="141d4ca7-b38d-43b1-9fc5-9b6a5d9b8fb7"/>
    <xsd:import namespace="89e381bf-539f-4f23-9886-ca6eb9b2f6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d4ca7-b38d-43b1-9fc5-9b6a5d9b8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381bf-539f-4f23-9886-ca6eb9b2f6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1d4ca7-b38d-43b1-9fc5-9b6a5d9b8f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F1873-1D57-4A9E-B22C-8A9656A88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d4ca7-b38d-43b1-9fc5-9b6a5d9b8fb7"/>
    <ds:schemaRef ds:uri="89e381bf-539f-4f23-9886-ca6eb9b2f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A68F71-6E18-4A2F-AA0F-81154861FA14}">
  <ds:schemaRefs>
    <ds:schemaRef ds:uri="http://schemas.microsoft.com/office/2006/documentManagement/types"/>
    <ds:schemaRef ds:uri="http://purl.org/dc/dcmitype/"/>
    <ds:schemaRef ds:uri="http://purl.org/dc/terms/"/>
    <ds:schemaRef ds:uri="141d4ca7-b38d-43b1-9fc5-9b6a5d9b8fb7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9e381bf-539f-4f23-9886-ca6eb9b2f60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3A276DB-16BF-4DF4-A245-A9E56785AA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Stig Kvendset</dc:creator>
  <cp:lastModifiedBy>Ole Kristian Simensen</cp:lastModifiedBy>
  <dcterms:created xsi:type="dcterms:W3CDTF">2026-01-29T13:16:03Z</dcterms:created>
  <dcterms:modified xsi:type="dcterms:W3CDTF">2026-02-04T19:23:34Z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0x01010066160B998A4060499D1196584FBC7DDD</vt:lpwstr>
  </property>
</Properties>
</file>