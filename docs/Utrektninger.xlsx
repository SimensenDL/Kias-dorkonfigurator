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lekr\OneDrive\Dokumenter\SimensenDL-Drift\dokumenter\Kias\Dør Konfigurator (Programvare)\"/>
    </mc:Choice>
  </mc:AlternateContent>
  <xr:revisionPtr revIDLastSave="0" documentId="13_ncr:1_{6C3CB99D-BBEA-46E8-BBA5-217CF0C97A78}" xr6:coauthVersionLast="47" xr6:coauthVersionMax="47" xr10:uidLastSave="{00000000-0000-0000-0000-000000000000}"/>
  <bookViews>
    <workbookView xWindow="-28920" yWindow="-1260" windowWidth="29040" windowHeight="157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2" i="1" l="1"/>
  <c r="D122" i="1"/>
  <c r="I122" i="1" s="1"/>
  <c r="C122" i="1"/>
  <c r="H122" i="1" s="1"/>
  <c r="E117" i="1"/>
  <c r="D117" i="1"/>
  <c r="G117" i="1" s="1"/>
  <c r="C117" i="1"/>
  <c r="F117" i="1" s="1"/>
  <c r="G111" i="1"/>
  <c r="F111" i="1"/>
  <c r="E111" i="1"/>
  <c r="D111" i="1"/>
  <c r="C111" i="1"/>
  <c r="E104" i="1"/>
  <c r="D104" i="1"/>
  <c r="G104" i="1" s="1"/>
  <c r="I104" i="1" s="1"/>
  <c r="C104" i="1"/>
  <c r="F104" i="1" s="1"/>
  <c r="H104" i="1" s="1"/>
  <c r="F98" i="1"/>
  <c r="H98" i="1" s="1"/>
  <c r="E98" i="1"/>
  <c r="D98" i="1"/>
  <c r="G98" i="1" s="1"/>
  <c r="I98" i="1" s="1"/>
  <c r="C98" i="1"/>
  <c r="E92" i="1"/>
  <c r="D92" i="1"/>
  <c r="G92" i="1" s="1"/>
  <c r="I92" i="1" s="1"/>
  <c r="C92" i="1"/>
  <c r="F92" i="1" s="1"/>
  <c r="H92" i="1" s="1"/>
  <c r="E86" i="1"/>
  <c r="D86" i="1"/>
  <c r="G86" i="1" s="1"/>
  <c r="I86" i="1" s="1"/>
  <c r="C86" i="1"/>
  <c r="F86" i="1" s="1"/>
  <c r="H86" i="1" s="1"/>
  <c r="G78" i="1"/>
  <c r="F78" i="1"/>
  <c r="D78" i="1"/>
  <c r="C78" i="1"/>
  <c r="D72" i="1"/>
  <c r="G72" i="1" s="1"/>
  <c r="C72" i="1"/>
  <c r="F72" i="1" s="1"/>
  <c r="D66" i="1"/>
  <c r="G66" i="1" s="1"/>
  <c r="C66" i="1"/>
  <c r="F66" i="1" s="1"/>
  <c r="G60" i="1"/>
  <c r="I60" i="1" s="1"/>
  <c r="F60" i="1"/>
  <c r="H60" i="1" s="1"/>
  <c r="E60" i="1"/>
  <c r="D60" i="1"/>
  <c r="C60" i="1"/>
  <c r="D54" i="1"/>
  <c r="H54" i="1" s="1"/>
  <c r="C54" i="1"/>
  <c r="I54" i="1" s="1"/>
  <c r="D48" i="1"/>
  <c r="G48" i="1" s="1"/>
  <c r="C48" i="1"/>
  <c r="H48" i="1" s="1"/>
  <c r="D42" i="1"/>
  <c r="G42" i="1" s="1"/>
  <c r="C42" i="1"/>
  <c r="H42" i="1" s="1"/>
  <c r="D35" i="1"/>
  <c r="F35" i="1" s="1"/>
  <c r="C35" i="1"/>
  <c r="E35" i="1" s="1"/>
  <c r="I29" i="1"/>
  <c r="G29" i="1"/>
  <c r="F29" i="1"/>
  <c r="E29" i="1"/>
  <c r="D29" i="1"/>
  <c r="C29" i="1"/>
  <c r="E23" i="1"/>
  <c r="D23" i="1"/>
  <c r="G23" i="1" s="1"/>
  <c r="I23" i="1" s="1"/>
  <c r="C23" i="1"/>
  <c r="F23" i="1" s="1"/>
  <c r="H23" i="1" s="1"/>
  <c r="M17" i="1"/>
  <c r="L17" i="1"/>
  <c r="G17" i="1"/>
  <c r="I17" i="1" s="1"/>
  <c r="F17" i="1"/>
  <c r="H17" i="1" s="1"/>
  <c r="E17" i="1"/>
  <c r="D17" i="1"/>
  <c r="C17" i="1"/>
  <c r="H11" i="1"/>
  <c r="E11" i="1"/>
  <c r="D11" i="1"/>
  <c r="G11" i="1" s="1"/>
  <c r="C11" i="1"/>
  <c r="F11" i="1" s="1"/>
  <c r="E5" i="1"/>
  <c r="D5" i="1"/>
  <c r="G5" i="1" s="1"/>
  <c r="C5" i="1"/>
  <c r="F5" i="1" s="1"/>
  <c r="E48" i="1" l="1"/>
  <c r="F48" i="1"/>
  <c r="G35" i="1"/>
  <c r="E54" i="1"/>
  <c r="I35" i="1"/>
  <c r="F54" i="1"/>
  <c r="G54" i="1"/>
  <c r="J54" i="1" s="1"/>
  <c r="F122" i="1"/>
  <c r="G122" i="1"/>
  <c r="E42" i="1"/>
  <c r="F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</author>
  </authors>
  <commentList>
    <comment ref="C66" authorId="0" shapeId="0" xr:uid="{E1EAFF07-C359-430F-BC4B-C79E240ED0E0}">
      <text>
        <r>
          <rPr>
            <b/>
            <sz val="9"/>
            <color indexed="81"/>
            <rFont val="Tahoma"/>
            <family val="2"/>
          </rPr>
          <t>SK:</t>
        </r>
        <r>
          <rPr>
            <sz val="9"/>
            <color indexed="81"/>
            <rFont val="Tahoma"/>
            <family val="2"/>
          </rPr>
          <t xml:space="preserve">
Roca hengsler</t>
        </r>
      </text>
    </comment>
  </commentList>
</comments>
</file>

<file path=xl/sharedStrings.xml><?xml version="1.0" encoding="utf-8"?>
<sst xmlns="http://schemas.openxmlformats.org/spreadsheetml/2006/main" count="276" uniqueCount="40">
  <si>
    <t>Utregningsskjema 1-fl. SDI m/SD1 karm</t>
  </si>
  <si>
    <t>Utv.karm</t>
  </si>
  <si>
    <t>Dørblad</t>
  </si>
  <si>
    <t>Terskel</t>
  </si>
  <si>
    <t>Laminat</t>
  </si>
  <si>
    <t>Bredde</t>
  </si>
  <si>
    <t>Høyde</t>
  </si>
  <si>
    <t>Lengde</t>
  </si>
  <si>
    <t>Utregningsskjema 2-fl. SDI m/SD1 og SD2 karm</t>
  </si>
  <si>
    <t>Dekklist</t>
  </si>
  <si>
    <t>Utregningsskjema 1-fl. KD m/KD1 og KD2 karm</t>
  </si>
  <si>
    <t>Utregningsskjema 2-fl. KD m/KD1 og KD2 karm</t>
  </si>
  <si>
    <t>Utregningsskjema 1-fl. PDPC/PDPO m/PD1og 2 karm</t>
  </si>
  <si>
    <t>Sparkeplate</t>
  </si>
  <si>
    <t>Ryggforsterkning</t>
  </si>
  <si>
    <t>Ryggforst overdel</t>
  </si>
  <si>
    <t>Avviserbøyler</t>
  </si>
  <si>
    <t>Utregningsskjema 2-fl. PDPC/PDPO m/PD1 og 2 karm</t>
  </si>
  <si>
    <t>Utregningsskjema 1-fl. PDI m/PD1 og 2 karm</t>
  </si>
  <si>
    <t>laminat</t>
  </si>
  <si>
    <t>Utregningsskjema 2-fl. PDI m/PD1 og 2 karm</t>
  </si>
  <si>
    <t>Utregningsskjema 1-fl.  SKD 40 og 60  m/SKD1 og SKD2 karm</t>
  </si>
  <si>
    <t>Skinne</t>
  </si>
  <si>
    <t>Innerskinne X 2</t>
  </si>
  <si>
    <t>Styreskinne</t>
  </si>
  <si>
    <t>Laminatmål ved midtdeler</t>
  </si>
  <si>
    <t>Bredde pr. lam.</t>
  </si>
  <si>
    <t>Utregningsskjema 1-fl. BD m/SD1 karm</t>
  </si>
  <si>
    <t>Løfteterskel</t>
  </si>
  <si>
    <t>Utregningsskjema 1-fl. Brakkedør Ytterdør m/BR1 karm</t>
  </si>
  <si>
    <t>Utregningsskjema 2-fl. Brakkedør ytterdør m/BR1 karm</t>
  </si>
  <si>
    <t>Utregningsskjema 1-fl. Brakkedør innerdør m/BI1 karm</t>
  </si>
  <si>
    <t>Utregningsskjema 1-fl. Fjøsdører med kjørbar terskel m/FD1 og FD2 karm</t>
  </si>
  <si>
    <t>Utregningsskjema 2-fl. Fjøsdører med kjørbar terskel m/FD1 og FD2 karm</t>
  </si>
  <si>
    <t>Utregningsskjema 1-fl. Fjøsdører med kjørbar terskel FD3</t>
  </si>
  <si>
    <t>Utregningsskjema 2-fl. Fjøsdører med kjørbar terskel FD3</t>
  </si>
  <si>
    <t xml:space="preserve">Utregningsskjema 1-fl. ID m/innfreste hengsler - Innerdørkarm m/notspor </t>
  </si>
  <si>
    <t>Luftspalte</t>
  </si>
  <si>
    <t xml:space="preserve">Utregningsskjema 1-fl. ID m/ROCA hengsler - Innerdørkarm m/notspor </t>
  </si>
  <si>
    <t>Utregningskjema 1-fl. BO m/innfreste hengsler - Boddørkarm m/notspor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</si>
</sst>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wrapText="1"/>
    </xf>
    <xf numFmtId="0" fontId="0" fillId="0" borderId="2" xfId="0" applyBorder="1"/>
    <xf numFmtId="0" fontId="0" fillId="0" borderId="3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abSelected="1" workbookViewId="0">
      <selection activeCell="P16" sqref="P16"/>
    </sheetView>
  </sheetViews>
  <sheetFormatPr baseColWidth="10" defaultColWidth="8.85546875" defaultRowHeight="15" x14ac:dyDescent="0.25"/>
  <cols>
    <col min="1" max="2" width="11.42578125" customWidth="1"/>
    <col min="3" max="3" width="11.7109375" customWidth="1"/>
    <col min="4" max="6" width="11.42578125" customWidth="1"/>
    <col min="7" max="7" width="15.7109375" customWidth="1"/>
    <col min="8" max="9" width="11.42578125" customWidth="1"/>
    <col min="10" max="10" width="14.5703125" customWidth="1"/>
    <col min="11" max="256" width="11.42578125" customWidth="1"/>
  </cols>
  <sheetData>
    <row r="1" spans="1:9" ht="15.75" x14ac:dyDescent="0.25">
      <c r="A1" s="1" t="s">
        <v>0</v>
      </c>
    </row>
    <row r="3" spans="1:9" x14ac:dyDescent="0.25">
      <c r="A3" s="2" t="s">
        <v>1</v>
      </c>
      <c r="B3" s="2"/>
      <c r="C3" s="2" t="s">
        <v>2</v>
      </c>
      <c r="D3" s="2"/>
      <c r="E3" s="2" t="s">
        <v>3</v>
      </c>
      <c r="F3" s="2" t="s">
        <v>4</v>
      </c>
    </row>
    <row r="4" spans="1:9" x14ac:dyDescent="0.25">
      <c r="A4" t="s">
        <v>5</v>
      </c>
      <c r="B4" t="s">
        <v>6</v>
      </c>
      <c r="C4" t="s">
        <v>5</v>
      </c>
      <c r="D4" t="s">
        <v>6</v>
      </c>
      <c r="E4" t="s">
        <v>7</v>
      </c>
      <c r="F4" t="s">
        <v>5</v>
      </c>
      <c r="G4" t="s">
        <v>6</v>
      </c>
    </row>
    <row r="5" spans="1:9" x14ac:dyDescent="0.25">
      <c r="A5">
        <v>1080</v>
      </c>
      <c r="B5">
        <v>2140</v>
      </c>
      <c r="C5">
        <f>A5-128</f>
        <v>952</v>
      </c>
      <c r="D5">
        <f>B5-85</f>
        <v>2055</v>
      </c>
      <c r="E5">
        <f>A5-160</f>
        <v>920</v>
      </c>
      <c r="F5">
        <f>C5-8</f>
        <v>944</v>
      </c>
      <c r="G5">
        <f>D5-8</f>
        <v>2047</v>
      </c>
    </row>
    <row r="7" spans="1:9" ht="15.75" x14ac:dyDescent="0.25">
      <c r="A7" s="1" t="s">
        <v>8</v>
      </c>
    </row>
    <row r="9" spans="1:9" x14ac:dyDescent="0.25">
      <c r="A9" s="2" t="s">
        <v>1</v>
      </c>
      <c r="B9" s="2"/>
      <c r="C9" s="2" t="s">
        <v>2</v>
      </c>
      <c r="D9" s="2"/>
      <c r="E9" s="2" t="s">
        <v>3</v>
      </c>
      <c r="F9" s="2" t="s">
        <v>4</v>
      </c>
      <c r="H9" s="2" t="s">
        <v>9</v>
      </c>
    </row>
    <row r="10" spans="1:9" x14ac:dyDescent="0.25">
      <c r="A10" t="s">
        <v>5</v>
      </c>
      <c r="B10" t="s">
        <v>6</v>
      </c>
      <c r="C10" t="s">
        <v>5</v>
      </c>
      <c r="D10" t="s">
        <v>6</v>
      </c>
      <c r="E10" t="s">
        <v>7</v>
      </c>
      <c r="F10" t="s">
        <v>5</v>
      </c>
      <c r="G10" t="s">
        <v>6</v>
      </c>
      <c r="H10" t="s">
        <v>7</v>
      </c>
    </row>
    <row r="11" spans="1:9" x14ac:dyDescent="0.25">
      <c r="A11">
        <v>2066</v>
      </c>
      <c r="B11">
        <v>2437</v>
      </c>
      <c r="C11">
        <f>(A11-132)/2</f>
        <v>967</v>
      </c>
      <c r="D11">
        <f>B11-85</f>
        <v>2352</v>
      </c>
      <c r="E11">
        <f>A11-160</f>
        <v>1906</v>
      </c>
      <c r="F11">
        <f>C11-8</f>
        <v>959</v>
      </c>
      <c r="G11">
        <f>D11-8</f>
        <v>2344</v>
      </c>
      <c r="H11">
        <f>B11-102</f>
        <v>2335</v>
      </c>
    </row>
    <row r="13" spans="1:9" ht="15.75" x14ac:dyDescent="0.25">
      <c r="A13" s="1" t="s">
        <v>10</v>
      </c>
    </row>
    <row r="15" spans="1:9" x14ac:dyDescent="0.25">
      <c r="A15" s="2" t="s">
        <v>1</v>
      </c>
      <c r="B15" s="2"/>
      <c r="C15" s="2" t="s">
        <v>2</v>
      </c>
      <c r="D15" s="2"/>
      <c r="E15" s="2" t="s">
        <v>3</v>
      </c>
      <c r="F15" s="2" t="s">
        <v>4</v>
      </c>
      <c r="H15" s="2" t="s">
        <v>4</v>
      </c>
    </row>
    <row r="16" spans="1:9" x14ac:dyDescent="0.25">
      <c r="A16" t="s">
        <v>5</v>
      </c>
      <c r="B16" t="s">
        <v>6</v>
      </c>
      <c r="C16" t="s">
        <v>5</v>
      </c>
      <c r="D16" t="s">
        <v>6</v>
      </c>
      <c r="E16" t="s">
        <v>7</v>
      </c>
      <c r="F16" t="s">
        <v>5</v>
      </c>
      <c r="G16" t="s">
        <v>6</v>
      </c>
      <c r="H16" t="s">
        <v>5</v>
      </c>
      <c r="I16" t="s">
        <v>6</v>
      </c>
    </row>
    <row r="17" spans="1:13" x14ac:dyDescent="0.25">
      <c r="A17">
        <v>908</v>
      </c>
      <c r="B17">
        <v>2190</v>
      </c>
      <c r="C17">
        <f>A17-168</f>
        <v>740</v>
      </c>
      <c r="D17">
        <f>B17-105</f>
        <v>2085</v>
      </c>
      <c r="E17">
        <f>A17-200</f>
        <v>708</v>
      </c>
      <c r="F17">
        <f>C17-8</f>
        <v>732</v>
      </c>
      <c r="G17">
        <f>D17-8</f>
        <v>2077</v>
      </c>
      <c r="H17">
        <f>F17-40</f>
        <v>692</v>
      </c>
      <c r="I17">
        <f>G17-40</f>
        <v>2037</v>
      </c>
      <c r="L17" s="3">
        <f>2175+80</f>
        <v>2255</v>
      </c>
      <c r="M17">
        <f>2150+40</f>
        <v>2190</v>
      </c>
    </row>
    <row r="19" spans="1:13" ht="15.75" x14ac:dyDescent="0.25">
      <c r="A19" s="1" t="s">
        <v>11</v>
      </c>
    </row>
    <row r="21" spans="1:13" x14ac:dyDescent="0.25">
      <c r="A21" s="2" t="s">
        <v>1</v>
      </c>
      <c r="B21" s="2"/>
      <c r="C21" s="2" t="s">
        <v>2</v>
      </c>
      <c r="D21" s="2"/>
      <c r="E21" s="2" t="s">
        <v>3</v>
      </c>
      <c r="F21" s="2" t="s">
        <v>4</v>
      </c>
      <c r="H21" s="2" t="s">
        <v>4</v>
      </c>
    </row>
    <row r="22" spans="1:13" x14ac:dyDescent="0.25">
      <c r="A22" t="s">
        <v>5</v>
      </c>
      <c r="B22" t="s">
        <v>6</v>
      </c>
      <c r="C22" t="s">
        <v>5</v>
      </c>
      <c r="D22" t="s">
        <v>6</v>
      </c>
      <c r="E22" t="s">
        <v>7</v>
      </c>
      <c r="F22" t="s">
        <v>5</v>
      </c>
      <c r="G22" t="s">
        <v>6</v>
      </c>
      <c r="H22" t="s">
        <v>5</v>
      </c>
      <c r="I22" t="s">
        <v>6</v>
      </c>
    </row>
    <row r="23" spans="1:13" x14ac:dyDescent="0.25">
      <c r="A23">
        <v>2080</v>
      </c>
      <c r="B23">
        <v>2440</v>
      </c>
      <c r="C23">
        <f>(A23-172)/2</f>
        <v>954</v>
      </c>
      <c r="D23">
        <f>B23-105</f>
        <v>2335</v>
      </c>
      <c r="E23">
        <f>A23-200</f>
        <v>1880</v>
      </c>
      <c r="F23">
        <f>C23-8</f>
        <v>946</v>
      </c>
      <c r="G23">
        <f>D23-8</f>
        <v>2327</v>
      </c>
      <c r="H23">
        <f>F23-40</f>
        <v>906</v>
      </c>
      <c r="I23">
        <f>G23-40</f>
        <v>2287</v>
      </c>
    </row>
    <row r="25" spans="1:13" ht="15.75" x14ac:dyDescent="0.25">
      <c r="A25" s="1" t="s">
        <v>12</v>
      </c>
      <c r="B25" s="1"/>
      <c r="C25" s="1"/>
      <c r="D25" s="1"/>
      <c r="E25" s="1"/>
      <c r="F25" s="1"/>
    </row>
    <row r="27" spans="1:13" x14ac:dyDescent="0.25">
      <c r="A27" s="2" t="s">
        <v>1</v>
      </c>
      <c r="B27" s="2"/>
      <c r="C27" s="2" t="s">
        <v>2</v>
      </c>
      <c r="D27" s="2"/>
      <c r="E27" s="2" t="s">
        <v>13</v>
      </c>
      <c r="F27" s="2" t="s">
        <v>14</v>
      </c>
      <c r="G27" s="2" t="s">
        <v>15</v>
      </c>
      <c r="I27" s="2" t="s">
        <v>16</v>
      </c>
    </row>
    <row r="28" spans="1:13" x14ac:dyDescent="0.25">
      <c r="A28" t="s">
        <v>5</v>
      </c>
      <c r="B28" t="s">
        <v>6</v>
      </c>
      <c r="C28" t="s">
        <v>5</v>
      </c>
      <c r="D28" t="s">
        <v>6</v>
      </c>
      <c r="E28" t="s">
        <v>5</v>
      </c>
      <c r="F28" t="s">
        <v>6</v>
      </c>
      <c r="I28" t="s">
        <v>7</v>
      </c>
    </row>
    <row r="29" spans="1:13" x14ac:dyDescent="0.25">
      <c r="A29">
        <v>1124</v>
      </c>
      <c r="B29">
        <v>2182</v>
      </c>
      <c r="C29">
        <f>A29-300</f>
        <v>824</v>
      </c>
      <c r="D29">
        <f>B29-186</f>
        <v>1996</v>
      </c>
      <c r="E29">
        <f>C29-37</f>
        <v>787</v>
      </c>
      <c r="F29">
        <f>D29+99</f>
        <v>2095</v>
      </c>
      <c r="G29">
        <f>C29+98</f>
        <v>922</v>
      </c>
      <c r="I29">
        <f>C29+199</f>
        <v>1023</v>
      </c>
    </row>
    <row r="31" spans="1:13" ht="15.75" x14ac:dyDescent="0.25">
      <c r="A31" s="1" t="s">
        <v>17</v>
      </c>
      <c r="B31" s="1"/>
      <c r="C31" s="1"/>
      <c r="D31" s="1"/>
      <c r="E31" s="1"/>
      <c r="F31" s="1"/>
    </row>
    <row r="33" spans="1:9" x14ac:dyDescent="0.25">
      <c r="A33" s="2" t="s">
        <v>1</v>
      </c>
      <c r="B33" s="2"/>
      <c r="C33" s="2" t="s">
        <v>2</v>
      </c>
      <c r="D33" s="2"/>
      <c r="E33" s="2" t="s">
        <v>13</v>
      </c>
      <c r="F33" s="2" t="s">
        <v>14</v>
      </c>
      <c r="G33" s="2" t="s">
        <v>15</v>
      </c>
      <c r="I33" s="2" t="s">
        <v>16</v>
      </c>
    </row>
    <row r="34" spans="1:9" x14ac:dyDescent="0.25">
      <c r="A34" t="s">
        <v>5</v>
      </c>
      <c r="B34" t="s">
        <v>6</v>
      </c>
      <c r="C34" t="s">
        <v>5</v>
      </c>
      <c r="D34" t="s">
        <v>6</v>
      </c>
      <c r="E34" t="s">
        <v>5</v>
      </c>
      <c r="F34" t="s">
        <v>6</v>
      </c>
      <c r="I34" t="s">
        <v>7</v>
      </c>
    </row>
    <row r="35" spans="1:9" x14ac:dyDescent="0.25">
      <c r="A35">
        <v>1900</v>
      </c>
      <c r="B35">
        <v>2182</v>
      </c>
      <c r="C35">
        <f>(A35-454)/2</f>
        <v>723</v>
      </c>
      <c r="D35">
        <f>B35-186</f>
        <v>1996</v>
      </c>
      <c r="E35">
        <f>C35-37</f>
        <v>686</v>
      </c>
      <c r="F35">
        <f>D35+99</f>
        <v>2095</v>
      </c>
      <c r="G35">
        <f>C35+98</f>
        <v>821</v>
      </c>
      <c r="I35">
        <f>C35+199</f>
        <v>922</v>
      </c>
    </row>
    <row r="38" spans="1:9" ht="15.75" x14ac:dyDescent="0.25">
      <c r="A38" s="1" t="s">
        <v>18</v>
      </c>
      <c r="B38" s="1"/>
      <c r="C38" s="1"/>
      <c r="D38" s="1"/>
      <c r="E38" s="1"/>
      <c r="F38" s="1"/>
    </row>
    <row r="40" spans="1:9" x14ac:dyDescent="0.25">
      <c r="A40" s="2" t="s">
        <v>1</v>
      </c>
      <c r="B40" s="2"/>
      <c r="C40" s="2" t="s">
        <v>2</v>
      </c>
      <c r="D40" s="2"/>
      <c r="E40" s="2" t="s">
        <v>13</v>
      </c>
      <c r="F40" s="2" t="s">
        <v>19</v>
      </c>
      <c r="H40" s="2" t="s">
        <v>16</v>
      </c>
    </row>
    <row r="41" spans="1:9" x14ac:dyDescent="0.25">
      <c r="A41" t="s">
        <v>5</v>
      </c>
      <c r="B41" t="s">
        <v>6</v>
      </c>
      <c r="C41" t="s">
        <v>5</v>
      </c>
      <c r="D41" t="s">
        <v>6</v>
      </c>
      <c r="E41" t="s">
        <v>5</v>
      </c>
      <c r="F41" t="s">
        <v>5</v>
      </c>
      <c r="G41" t="s">
        <v>6</v>
      </c>
      <c r="H41" t="s">
        <v>7</v>
      </c>
    </row>
    <row r="42" spans="1:9" x14ac:dyDescent="0.25">
      <c r="A42">
        <v>1280</v>
      </c>
      <c r="B42">
        <v>2140</v>
      </c>
      <c r="C42">
        <f>A42-205</f>
        <v>1075</v>
      </c>
      <c r="D42">
        <f>B42-102</f>
        <v>2038</v>
      </c>
      <c r="E42">
        <f>C42-9</f>
        <v>1066</v>
      </c>
      <c r="F42">
        <f>C42-8</f>
        <v>1067</v>
      </c>
      <c r="G42">
        <f>D42-8</f>
        <v>2030</v>
      </c>
      <c r="H42">
        <f>C42+100</f>
        <v>1175</v>
      </c>
    </row>
    <row r="44" spans="1:9" ht="15.75" x14ac:dyDescent="0.25">
      <c r="A44" s="1" t="s">
        <v>20</v>
      </c>
      <c r="B44" s="1"/>
      <c r="C44" s="1"/>
      <c r="D44" s="1"/>
      <c r="E44" s="1"/>
      <c r="F44" s="1"/>
    </row>
    <row r="46" spans="1:9" x14ac:dyDescent="0.25">
      <c r="A46" s="2" t="s">
        <v>1</v>
      </c>
      <c r="B46" s="2"/>
      <c r="C46" s="2" t="s">
        <v>2</v>
      </c>
      <c r="D46" s="2"/>
      <c r="E46" s="2" t="s">
        <v>13</v>
      </c>
      <c r="F46" s="2" t="s">
        <v>4</v>
      </c>
      <c r="G46" s="2"/>
      <c r="H46" s="2" t="s">
        <v>16</v>
      </c>
    </row>
    <row r="47" spans="1:9" x14ac:dyDescent="0.25">
      <c r="A47" t="s">
        <v>5</v>
      </c>
      <c r="B47" t="s">
        <v>6</v>
      </c>
      <c r="C47" t="s">
        <v>5</v>
      </c>
      <c r="D47" t="s">
        <v>6</v>
      </c>
      <c r="E47" t="s">
        <v>5</v>
      </c>
      <c r="F47" t="s">
        <v>5</v>
      </c>
      <c r="G47" t="s">
        <v>6</v>
      </c>
      <c r="H47" t="s">
        <v>7</v>
      </c>
    </row>
    <row r="48" spans="1:9" x14ac:dyDescent="0.25">
      <c r="A48">
        <v>2080</v>
      </c>
      <c r="B48">
        <v>2140</v>
      </c>
      <c r="C48">
        <f>(A48-256)/2</f>
        <v>912</v>
      </c>
      <c r="D48">
        <f>B48-102</f>
        <v>2038</v>
      </c>
      <c r="E48">
        <f>C48-9</f>
        <v>903</v>
      </c>
      <c r="F48">
        <f>C48-8</f>
        <v>904</v>
      </c>
      <c r="G48">
        <f>D48-8</f>
        <v>2030</v>
      </c>
      <c r="H48">
        <f>C48+100</f>
        <v>1012</v>
      </c>
    </row>
    <row r="50" spans="1:10" ht="15.75" x14ac:dyDescent="0.25">
      <c r="A50" s="1" t="s">
        <v>21</v>
      </c>
    </row>
    <row r="51" spans="1:10" ht="15.75" thickBot="1" x14ac:dyDescent="0.3"/>
    <row r="52" spans="1:10" ht="26.25" x14ac:dyDescent="0.25">
      <c r="A52" s="2" t="s">
        <v>1</v>
      </c>
      <c r="B52" s="2"/>
      <c r="C52" s="2" t="s">
        <v>2</v>
      </c>
      <c r="D52" s="2"/>
      <c r="E52" s="2" t="s">
        <v>22</v>
      </c>
      <c r="F52" s="2" t="s">
        <v>23</v>
      </c>
      <c r="G52" s="2" t="s">
        <v>4</v>
      </c>
      <c r="I52" s="2" t="s">
        <v>24</v>
      </c>
      <c r="J52" s="4" t="s">
        <v>25</v>
      </c>
    </row>
    <row r="53" spans="1:10" x14ac:dyDescent="0.25">
      <c r="A53" t="s">
        <v>5</v>
      </c>
      <c r="B53" t="s">
        <v>6</v>
      </c>
      <c r="C53" t="s">
        <v>5</v>
      </c>
      <c r="D53" t="s">
        <v>6</v>
      </c>
      <c r="E53" t="s">
        <v>5</v>
      </c>
      <c r="F53" t="s">
        <v>7</v>
      </c>
      <c r="G53" t="s">
        <v>5</v>
      </c>
      <c r="H53" t="s">
        <v>6</v>
      </c>
      <c r="I53" t="s">
        <v>7</v>
      </c>
      <c r="J53" s="5" t="s">
        <v>26</v>
      </c>
    </row>
    <row r="54" spans="1:10" ht="15.75" thickBot="1" x14ac:dyDescent="0.3">
      <c r="A54">
        <v>2080</v>
      </c>
      <c r="B54">
        <v>2140</v>
      </c>
      <c r="C54">
        <f>A54-60</f>
        <v>2020</v>
      </c>
      <c r="D54">
        <f>B54-62</f>
        <v>2078</v>
      </c>
      <c r="E54">
        <f>C54*2+220</f>
        <v>4260</v>
      </c>
      <c r="F54">
        <f>C54-45</f>
        <v>1975</v>
      </c>
      <c r="G54">
        <f>C54-8</f>
        <v>2012</v>
      </c>
      <c r="H54">
        <f>D54-8</f>
        <v>2070</v>
      </c>
      <c r="I54">
        <f>C54+60</f>
        <v>2080</v>
      </c>
      <c r="J54" s="6">
        <f>(G54/2)-4</f>
        <v>1002</v>
      </c>
    </row>
    <row r="56" spans="1:10" ht="15.75" x14ac:dyDescent="0.25">
      <c r="A56" s="1" t="s">
        <v>27</v>
      </c>
    </row>
    <row r="58" spans="1:10" x14ac:dyDescent="0.25">
      <c r="A58" s="2" t="s">
        <v>1</v>
      </c>
      <c r="B58" s="2"/>
      <c r="C58" s="2" t="s">
        <v>2</v>
      </c>
      <c r="D58" s="2"/>
      <c r="E58" s="2" t="s">
        <v>28</v>
      </c>
      <c r="F58" s="2" t="s">
        <v>4</v>
      </c>
      <c r="H58" s="2" t="s">
        <v>4</v>
      </c>
    </row>
    <row r="59" spans="1:10" x14ac:dyDescent="0.25">
      <c r="A59" t="s">
        <v>5</v>
      </c>
      <c r="B59" t="s">
        <v>6</v>
      </c>
      <c r="C59" t="s">
        <v>5</v>
      </c>
      <c r="D59" t="s">
        <v>6</v>
      </c>
      <c r="E59" t="s">
        <v>7</v>
      </c>
      <c r="F59" t="s">
        <v>5</v>
      </c>
      <c r="G59" t="s">
        <v>6</v>
      </c>
      <c r="H59" t="s">
        <v>5</v>
      </c>
      <c r="I59" t="s">
        <v>6</v>
      </c>
    </row>
    <row r="60" spans="1:10" x14ac:dyDescent="0.25">
      <c r="A60">
        <v>1090</v>
      </c>
      <c r="B60">
        <v>2150</v>
      </c>
      <c r="C60">
        <f>A60-128</f>
        <v>962</v>
      </c>
      <c r="D60">
        <f>B60-81</f>
        <v>2069</v>
      </c>
      <c r="E60">
        <f>A60-130</f>
        <v>960</v>
      </c>
      <c r="F60">
        <f>C60-12</f>
        <v>950</v>
      </c>
      <c r="G60">
        <f>D60-12</f>
        <v>2057</v>
      </c>
      <c r="H60">
        <f>F60-40</f>
        <v>910</v>
      </c>
      <c r="I60">
        <f>G60-40</f>
        <v>2017</v>
      </c>
    </row>
    <row r="62" spans="1:10" ht="15.75" x14ac:dyDescent="0.25">
      <c r="A62" s="1" t="s">
        <v>29</v>
      </c>
    </row>
    <row r="64" spans="1:10" x14ac:dyDescent="0.25">
      <c r="A64" s="2" t="s">
        <v>1</v>
      </c>
      <c r="B64" s="2"/>
      <c r="C64" s="2" t="s">
        <v>2</v>
      </c>
      <c r="D64" s="2"/>
      <c r="E64" s="2"/>
      <c r="F64" s="2" t="s">
        <v>4</v>
      </c>
      <c r="H64" s="2"/>
    </row>
    <row r="65" spans="1:8" x14ac:dyDescent="0.25">
      <c r="A65" t="s">
        <v>5</v>
      </c>
      <c r="B65" t="s">
        <v>6</v>
      </c>
      <c r="C65" t="s">
        <v>5</v>
      </c>
      <c r="D65" t="s">
        <v>6</v>
      </c>
      <c r="F65" t="s">
        <v>5</v>
      </c>
      <c r="G65" t="s">
        <v>6</v>
      </c>
    </row>
    <row r="66" spans="1:8" x14ac:dyDescent="0.25">
      <c r="A66">
        <v>1027</v>
      </c>
      <c r="B66">
        <v>2000</v>
      </c>
      <c r="C66">
        <f>A66-95</f>
        <v>932</v>
      </c>
      <c r="D66">
        <f>B66-93</f>
        <v>1907</v>
      </c>
      <c r="F66">
        <f>C66-8</f>
        <v>924</v>
      </c>
      <c r="G66">
        <f>D66-8</f>
        <v>1899</v>
      </c>
    </row>
    <row r="68" spans="1:8" ht="15.75" x14ac:dyDescent="0.25">
      <c r="A68" s="1" t="s">
        <v>30</v>
      </c>
    </row>
    <row r="70" spans="1:8" x14ac:dyDescent="0.25">
      <c r="A70" s="2" t="s">
        <v>1</v>
      </c>
      <c r="B70" s="2"/>
      <c r="C70" s="2" t="s">
        <v>2</v>
      </c>
      <c r="D70" s="2"/>
      <c r="E70" s="2"/>
      <c r="F70" s="2" t="s">
        <v>4</v>
      </c>
      <c r="H70" s="2"/>
    </row>
    <row r="71" spans="1:8" x14ac:dyDescent="0.25">
      <c r="A71" t="s">
        <v>5</v>
      </c>
      <c r="B71" t="s">
        <v>6</v>
      </c>
      <c r="C71" t="s">
        <v>5</v>
      </c>
      <c r="D71" t="s">
        <v>6</v>
      </c>
      <c r="F71" t="s">
        <v>5</v>
      </c>
      <c r="G71" t="s">
        <v>6</v>
      </c>
    </row>
    <row r="72" spans="1:8" x14ac:dyDescent="0.25">
      <c r="A72">
        <v>1430</v>
      </c>
      <c r="B72">
        <v>1950</v>
      </c>
      <c r="C72">
        <f>(A72-98)/2</f>
        <v>666</v>
      </c>
      <c r="D72">
        <f>B72-93</f>
        <v>1857</v>
      </c>
      <c r="F72">
        <f>C72-8</f>
        <v>658</v>
      </c>
      <c r="G72">
        <f>D72-8</f>
        <v>1849</v>
      </c>
    </row>
    <row r="74" spans="1:8" ht="15.75" x14ac:dyDescent="0.25">
      <c r="A74" s="7" t="s">
        <v>31</v>
      </c>
      <c r="B74" s="8"/>
      <c r="C74" s="8"/>
      <c r="D74" s="8"/>
      <c r="E74" s="8"/>
      <c r="F74" s="8"/>
      <c r="G74" s="8"/>
    </row>
    <row r="75" spans="1:8" x14ac:dyDescent="0.25">
      <c r="A75" s="8"/>
      <c r="B75" s="8"/>
      <c r="C75" s="8"/>
      <c r="D75" s="8"/>
      <c r="E75" s="8"/>
      <c r="F75" s="8"/>
      <c r="G75" s="8"/>
    </row>
    <row r="76" spans="1:8" x14ac:dyDescent="0.25">
      <c r="A76" s="9" t="s">
        <v>1</v>
      </c>
      <c r="B76" s="9"/>
      <c r="C76" s="9" t="s">
        <v>2</v>
      </c>
      <c r="D76" s="9"/>
      <c r="E76" s="9"/>
      <c r="F76" s="9" t="s">
        <v>4</v>
      </c>
      <c r="G76" s="8"/>
      <c r="H76" s="2"/>
    </row>
    <row r="77" spans="1:8" x14ac:dyDescent="0.25">
      <c r="A77" s="8" t="s">
        <v>5</v>
      </c>
      <c r="B77" s="8" t="s">
        <v>6</v>
      </c>
      <c r="C77" s="8" t="s">
        <v>5</v>
      </c>
      <c r="D77" s="8" t="s">
        <v>6</v>
      </c>
      <c r="E77" s="8"/>
      <c r="F77" s="8" t="s">
        <v>5</v>
      </c>
      <c r="G77" s="8" t="s">
        <v>6</v>
      </c>
    </row>
    <row r="78" spans="1:8" x14ac:dyDescent="0.25">
      <c r="A78" s="8">
        <v>1027</v>
      </c>
      <c r="B78" s="8">
        <v>2000</v>
      </c>
      <c r="C78" s="8">
        <f>A78-80</f>
        <v>947</v>
      </c>
      <c r="D78" s="8">
        <f>B78-78</f>
        <v>1922</v>
      </c>
      <c r="E78" s="8"/>
      <c r="F78" s="8">
        <f>C78-8</f>
        <v>939</v>
      </c>
      <c r="G78" s="8">
        <f>D78-8</f>
        <v>1914</v>
      </c>
    </row>
    <row r="82" spans="1:9" ht="15.75" x14ac:dyDescent="0.25">
      <c r="A82" s="1" t="s">
        <v>32</v>
      </c>
    </row>
    <row r="84" spans="1:9" x14ac:dyDescent="0.25">
      <c r="A84" s="2" t="s">
        <v>1</v>
      </c>
      <c r="B84" s="2"/>
      <c r="C84" s="2" t="s">
        <v>2</v>
      </c>
      <c r="D84" s="2"/>
      <c r="E84" s="2" t="s">
        <v>3</v>
      </c>
      <c r="F84" s="2" t="s">
        <v>4</v>
      </c>
      <c r="H84" s="2" t="s">
        <v>4</v>
      </c>
    </row>
    <row r="85" spans="1:9" x14ac:dyDescent="0.25">
      <c r="A85" t="s">
        <v>5</v>
      </c>
      <c r="B85" t="s">
        <v>6</v>
      </c>
      <c r="C85" t="s">
        <v>5</v>
      </c>
      <c r="D85" t="s">
        <v>6</v>
      </c>
      <c r="E85" t="s">
        <v>7</v>
      </c>
      <c r="F85" t="s">
        <v>5</v>
      </c>
      <c r="G85" t="s">
        <v>6</v>
      </c>
      <c r="H85" t="s">
        <v>5</v>
      </c>
      <c r="I85" t="s">
        <v>6</v>
      </c>
    </row>
    <row r="86" spans="1:9" x14ac:dyDescent="0.25">
      <c r="A86">
        <v>1080</v>
      </c>
      <c r="B86">
        <v>2140</v>
      </c>
      <c r="C86">
        <f>A86-168</f>
        <v>912</v>
      </c>
      <c r="D86">
        <f>B86-96</f>
        <v>2044</v>
      </c>
      <c r="E86">
        <f>A86-200</f>
        <v>880</v>
      </c>
      <c r="F86">
        <f>C86-8</f>
        <v>904</v>
      </c>
      <c r="G86">
        <f>D86-8</f>
        <v>2036</v>
      </c>
      <c r="H86">
        <f>F86-40</f>
        <v>864</v>
      </c>
      <c r="I86">
        <f>G86-40</f>
        <v>1996</v>
      </c>
    </row>
    <row r="88" spans="1:9" ht="15.75" x14ac:dyDescent="0.25">
      <c r="A88" s="1" t="s">
        <v>33</v>
      </c>
    </row>
    <row r="90" spans="1:9" x14ac:dyDescent="0.25">
      <c r="A90" s="2" t="s">
        <v>1</v>
      </c>
      <c r="B90" s="2"/>
      <c r="C90" s="2" t="s">
        <v>2</v>
      </c>
      <c r="D90" s="2"/>
      <c r="E90" s="2" t="s">
        <v>3</v>
      </c>
      <c r="F90" s="2" t="s">
        <v>4</v>
      </c>
      <c r="H90" s="2" t="s">
        <v>4</v>
      </c>
    </row>
    <row r="91" spans="1:9" x14ac:dyDescent="0.25">
      <c r="A91" t="s">
        <v>5</v>
      </c>
      <c r="B91" t="s">
        <v>6</v>
      </c>
      <c r="C91" t="s">
        <v>5</v>
      </c>
      <c r="D91" t="s">
        <v>6</v>
      </c>
      <c r="E91" t="s">
        <v>7</v>
      </c>
      <c r="F91" t="s">
        <v>5</v>
      </c>
      <c r="G91" t="s">
        <v>6</v>
      </c>
      <c r="H91" t="s">
        <v>5</v>
      </c>
      <c r="I91" t="s">
        <v>6</v>
      </c>
    </row>
    <row r="92" spans="1:9" x14ac:dyDescent="0.25">
      <c r="A92">
        <v>2080</v>
      </c>
      <c r="B92">
        <v>2140</v>
      </c>
      <c r="C92">
        <f>(A92-172)/2</f>
        <v>954</v>
      </c>
      <c r="D92">
        <f>B92-96</f>
        <v>2044</v>
      </c>
      <c r="E92">
        <f>A92-200</f>
        <v>1880</v>
      </c>
      <c r="F92">
        <f>C92-8</f>
        <v>946</v>
      </c>
      <c r="G92">
        <f>D92-8</f>
        <v>2036</v>
      </c>
      <c r="H92">
        <f>F92-40</f>
        <v>906</v>
      </c>
      <c r="I92">
        <f>G92-40</f>
        <v>1996</v>
      </c>
    </row>
    <row r="94" spans="1:9" ht="15.75" x14ac:dyDescent="0.25">
      <c r="A94" s="1" t="s">
        <v>34</v>
      </c>
    </row>
    <row r="96" spans="1:9" x14ac:dyDescent="0.25">
      <c r="A96" s="2" t="s">
        <v>1</v>
      </c>
      <c r="B96" s="2"/>
      <c r="C96" s="2" t="s">
        <v>2</v>
      </c>
      <c r="D96" s="2"/>
      <c r="E96" s="2" t="s">
        <v>3</v>
      </c>
      <c r="F96" s="2" t="s">
        <v>4</v>
      </c>
      <c r="H96" s="2" t="s">
        <v>4</v>
      </c>
    </row>
    <row r="97" spans="1:9" x14ac:dyDescent="0.25">
      <c r="A97" t="s">
        <v>5</v>
      </c>
      <c r="B97" t="s">
        <v>6</v>
      </c>
      <c r="C97" t="s">
        <v>5</v>
      </c>
      <c r="D97" t="s">
        <v>6</v>
      </c>
      <c r="E97" t="s">
        <v>7</v>
      </c>
      <c r="F97" t="s">
        <v>5</v>
      </c>
      <c r="G97" t="s">
        <v>6</v>
      </c>
      <c r="H97" t="s">
        <v>5</v>
      </c>
      <c r="I97" t="s">
        <v>6</v>
      </c>
    </row>
    <row r="98" spans="1:9" x14ac:dyDescent="0.25">
      <c r="A98">
        <v>990</v>
      </c>
      <c r="B98">
        <v>2090</v>
      </c>
      <c r="C98">
        <f>A98-25-25-4-4</f>
        <v>932</v>
      </c>
      <c r="D98">
        <f>B98-25-3-13</f>
        <v>2049</v>
      </c>
      <c r="E98">
        <f>A98-46-46</f>
        <v>898</v>
      </c>
      <c r="F98">
        <f>C98-8</f>
        <v>924</v>
      </c>
      <c r="G98">
        <f>D98-8</f>
        <v>2041</v>
      </c>
      <c r="H98">
        <f>F98-40</f>
        <v>884</v>
      </c>
      <c r="I98">
        <f>G98-40</f>
        <v>2001</v>
      </c>
    </row>
    <row r="100" spans="1:9" ht="15.75" x14ac:dyDescent="0.25">
      <c r="A100" s="1" t="s">
        <v>35</v>
      </c>
    </row>
    <row r="102" spans="1:9" x14ac:dyDescent="0.25">
      <c r="A102" s="2" t="s">
        <v>1</v>
      </c>
      <c r="B102" s="2"/>
      <c r="C102" s="2" t="s">
        <v>2</v>
      </c>
      <c r="D102" s="2"/>
      <c r="E102" s="2" t="s">
        <v>3</v>
      </c>
      <c r="F102" s="2" t="s">
        <v>4</v>
      </c>
      <c r="H102" s="2" t="s">
        <v>4</v>
      </c>
    </row>
    <row r="103" spans="1:9" x14ac:dyDescent="0.25">
      <c r="A103" t="s">
        <v>5</v>
      </c>
      <c r="B103" t="s">
        <v>6</v>
      </c>
      <c r="C103" t="s">
        <v>5</v>
      </c>
      <c r="D103" t="s">
        <v>6</v>
      </c>
      <c r="E103" t="s">
        <v>7</v>
      </c>
      <c r="F103" t="s">
        <v>5</v>
      </c>
      <c r="G103" t="s">
        <v>6</v>
      </c>
      <c r="H103" t="s">
        <v>5</v>
      </c>
      <c r="I103" t="s">
        <v>6</v>
      </c>
    </row>
    <row r="104" spans="1:9" x14ac:dyDescent="0.25">
      <c r="A104">
        <v>1990</v>
      </c>
      <c r="B104">
        <v>2090</v>
      </c>
      <c r="C104">
        <f>(A104-25-25-4-4-4)/2</f>
        <v>964</v>
      </c>
      <c r="D104">
        <f>B104-25-3-13</f>
        <v>2049</v>
      </c>
      <c r="E104">
        <f>A104-46-46</f>
        <v>1898</v>
      </c>
      <c r="F104">
        <f>C104-8</f>
        <v>956</v>
      </c>
      <c r="G104">
        <f>D104-8</f>
        <v>2041</v>
      </c>
      <c r="H104">
        <f>F104-40</f>
        <v>916</v>
      </c>
      <c r="I104">
        <f>G104-40</f>
        <v>2001</v>
      </c>
    </row>
    <row r="107" spans="1:9" ht="15.75" x14ac:dyDescent="0.25">
      <c r="A107" s="10" t="s">
        <v>36</v>
      </c>
      <c r="B107" s="10"/>
      <c r="C107" s="10"/>
      <c r="D107" s="10"/>
      <c r="E107" s="10"/>
      <c r="F107" s="10"/>
      <c r="G107" s="10"/>
      <c r="H107" s="10"/>
    </row>
    <row r="108" spans="1:9" x14ac:dyDescent="0.25">
      <c r="A108" t="s">
        <v>37</v>
      </c>
      <c r="B108">
        <v>18</v>
      </c>
    </row>
    <row r="109" spans="1:9" x14ac:dyDescent="0.25">
      <c r="A109" s="2" t="s">
        <v>1</v>
      </c>
      <c r="B109" s="2"/>
      <c r="C109" s="2" t="s">
        <v>2</v>
      </c>
      <c r="D109" s="2"/>
      <c r="E109" s="2" t="s">
        <v>3</v>
      </c>
      <c r="F109" s="2" t="s">
        <v>4</v>
      </c>
    </row>
    <row r="110" spans="1:9" x14ac:dyDescent="0.25">
      <c r="A110" t="s">
        <v>5</v>
      </c>
      <c r="B110" t="s">
        <v>6</v>
      </c>
      <c r="C110" t="s">
        <v>5</v>
      </c>
      <c r="D110" t="s">
        <v>6</v>
      </c>
      <c r="E110" t="s">
        <v>7</v>
      </c>
      <c r="F110" t="s">
        <v>5</v>
      </c>
      <c r="G110" t="s">
        <v>6</v>
      </c>
    </row>
    <row r="111" spans="1:9" x14ac:dyDescent="0.25">
      <c r="A111">
        <v>887</v>
      </c>
      <c r="B111">
        <v>2090</v>
      </c>
      <c r="C111">
        <f>A111-28-28-4-2</f>
        <v>825</v>
      </c>
      <c r="D111">
        <f>B111-28-B108-4</f>
        <v>2040</v>
      </c>
      <c r="E111">
        <f>A111-28-28</f>
        <v>831</v>
      </c>
      <c r="F111">
        <f>C111-10</f>
        <v>815</v>
      </c>
      <c r="G111">
        <f>D111-10</f>
        <v>2030</v>
      </c>
    </row>
    <row r="113" spans="1:9" ht="15.75" x14ac:dyDescent="0.25">
      <c r="A113" s="10" t="s">
        <v>38</v>
      </c>
      <c r="B113" s="10"/>
      <c r="C113" s="10"/>
      <c r="D113" s="10"/>
      <c r="E113" s="10"/>
      <c r="F113" s="10"/>
      <c r="G113" s="10"/>
      <c r="H113" s="10"/>
    </row>
    <row r="114" spans="1:9" x14ac:dyDescent="0.25">
      <c r="A114" t="s">
        <v>37</v>
      </c>
      <c r="B114">
        <v>22</v>
      </c>
    </row>
    <row r="115" spans="1:9" x14ac:dyDescent="0.25">
      <c r="A115" s="2" t="s">
        <v>1</v>
      </c>
      <c r="B115" s="2"/>
      <c r="C115" s="2" t="s">
        <v>2</v>
      </c>
      <c r="D115" s="2"/>
      <c r="E115" s="2" t="s">
        <v>3</v>
      </c>
      <c r="F115" s="2" t="s">
        <v>4</v>
      </c>
    </row>
    <row r="116" spans="1:9" x14ac:dyDescent="0.25">
      <c r="A116" t="s">
        <v>5</v>
      </c>
      <c r="B116" t="s">
        <v>6</v>
      </c>
      <c r="C116" t="s">
        <v>5</v>
      </c>
      <c r="D116" t="s">
        <v>6</v>
      </c>
      <c r="E116" t="s">
        <v>7</v>
      </c>
      <c r="F116" t="s">
        <v>5</v>
      </c>
      <c r="G116" t="s">
        <v>6</v>
      </c>
    </row>
    <row r="117" spans="1:9" x14ac:dyDescent="0.25">
      <c r="A117">
        <v>990</v>
      </c>
      <c r="B117">
        <v>2090</v>
      </c>
      <c r="C117">
        <f>A117-28-28-4-3</f>
        <v>927</v>
      </c>
      <c r="D117">
        <f>B117-28-B114-4</f>
        <v>2036</v>
      </c>
      <c r="E117">
        <f>A117-28-28</f>
        <v>934</v>
      </c>
      <c r="F117">
        <f>C117-8</f>
        <v>919</v>
      </c>
      <c r="G117">
        <f>D117-8</f>
        <v>2028</v>
      </c>
    </row>
    <row r="119" spans="1:9" ht="15.75" x14ac:dyDescent="0.25">
      <c r="A119" s="1" t="s">
        <v>39</v>
      </c>
    </row>
    <row r="120" spans="1:9" x14ac:dyDescent="0.25">
      <c r="A120" s="2" t="s">
        <v>1</v>
      </c>
      <c r="B120" s="2"/>
      <c r="C120" s="2" t="s">
        <v>2</v>
      </c>
      <c r="D120" s="2"/>
      <c r="E120" s="2" t="s">
        <v>3</v>
      </c>
      <c r="F120" s="2" t="s">
        <v>4</v>
      </c>
      <c r="H120" s="2" t="s">
        <v>4</v>
      </c>
    </row>
    <row r="121" spans="1:9" x14ac:dyDescent="0.25">
      <c r="A121" t="s">
        <v>5</v>
      </c>
      <c r="B121" t="s">
        <v>6</v>
      </c>
      <c r="C121" t="s">
        <v>5</v>
      </c>
      <c r="D121" t="s">
        <v>6</v>
      </c>
      <c r="E121" t="s">
        <v>7</v>
      </c>
      <c r="F121" t="s">
        <v>5</v>
      </c>
      <c r="G121" t="s">
        <v>6</v>
      </c>
      <c r="H121" t="s">
        <v>5</v>
      </c>
      <c r="I121" t="s">
        <v>6</v>
      </c>
    </row>
    <row r="122" spans="1:9" x14ac:dyDescent="0.25">
      <c r="A122">
        <v>990</v>
      </c>
      <c r="B122">
        <v>2090</v>
      </c>
      <c r="C122">
        <f>A122-(35*2)-2-4</f>
        <v>914</v>
      </c>
      <c r="D122">
        <f>B122-35-10-3-6</f>
        <v>2036</v>
      </c>
      <c r="E122">
        <f>A122</f>
        <v>990</v>
      </c>
      <c r="F122">
        <f>C122-(2*4)-2</f>
        <v>904</v>
      </c>
      <c r="G122">
        <f>D122-(2*4)-2</f>
        <v>2026</v>
      </c>
      <c r="H122">
        <f>C122-(2*6)-(2*3)-2</f>
        <v>894</v>
      </c>
      <c r="I122">
        <f>D122-(2*6)-(2*3)-2</f>
        <v>2016</v>
      </c>
    </row>
  </sheetData>
  <mergeCells count="2">
    <mergeCell ref="A107:H107"/>
    <mergeCell ref="A113:H11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 Kristian Simensen</dc:creator>
  <cp:lastModifiedBy>Ole Kristian Simensen</cp:lastModifiedBy>
  <dcterms:created xsi:type="dcterms:W3CDTF">2015-06-05T18:19:34Z</dcterms:created>
  <dcterms:modified xsi:type="dcterms:W3CDTF">2026-02-04T23:57:08Z</dcterms:modified>
</cp:coreProperties>
</file>